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12">
    <font>
      <name val="Calibri"/>
      <family val="2"/>
      <color theme="1"/>
      <sz val="11"/>
      <scheme val="minor"/>
    </font>
    <font>
      <name val="Arial"/>
      <b val="1"/>
      <color rgb="001A1A1A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000000"/>
      <sz val="12"/>
    </font>
    <font>
      <name val="Arial"/>
      <b val="1"/>
      <color rgb="009C4400"/>
      <sz val="10"/>
    </font>
    <font>
      <name val="Arial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BBBBBB"/>
      </top>
    </border>
    <border>
      <top style="double">
        <color rgb="00000000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/>
    </xf>
    <xf numFmtId="0" fontId="5" fillId="0" borderId="0" applyAlignment="1" pivotButton="0" quotePrefix="0" xfId="0">
      <alignment indent="1"/>
    </xf>
    <xf numFmtId="164" fontId="6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0" fillId="2" borderId="0" pivotButton="0" quotePrefix="0" xfId="0"/>
    <xf numFmtId="0" fontId="7" fillId="0" borderId="0" pivotButton="0" quotePrefix="0" xfId="0"/>
    <xf numFmtId="164" fontId="7" fillId="0" borderId="0" applyAlignment="1" pivotButton="0" quotePrefix="0" xfId="0">
      <alignment horizontal="right"/>
    </xf>
    <xf numFmtId="0" fontId="8" fillId="0" borderId="0" pivotButton="0" quotePrefix="0" xfId="0"/>
    <xf numFmtId="0" fontId="5" fillId="0" borderId="0" applyAlignment="1" pivotButton="0" quotePrefix="0" xfId="0">
      <alignment indent="2"/>
    </xf>
    <xf numFmtId="0" fontId="7" fillId="0" borderId="0" applyAlignment="1" pivotButton="0" quotePrefix="0" xfId="0">
      <alignment indent="1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10" fillId="3" borderId="0" pivotButton="0" quotePrefix="0" xfId="0"/>
    <xf numFmtId="164" fontId="10" fillId="3" borderId="0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PraxisAI</author>
  </authors>
  <commentList>
    <comment ref="B11" authorId="0" shapeId="0">
      <text>
        <t>Estimate; staging-tier usage, no production traffic yet.</t>
      </text>
    </comment>
    <comment ref="B12" authorId="0" shapeId="0">
      <text>
        <t>Free tier.</t>
      </text>
    </comment>
    <comment ref="B13" authorId="0" shapeId="0">
      <text>
        <t>Estimate from local token counts; zero production Gemini traffic served.</t>
      </text>
    </comment>
    <comment ref="B14" authorId="0" shapeId="0">
      <text>
        <t>Self-hosted.</t>
      </text>
    </comment>
    <comment ref="B15" authorId="0" shapeId="0">
      <text>
        <t>$12/yr pro-rated to the window.</t>
      </text>
    </comment>
    <comment ref="B25" authorId="0" shapeId="0">
      <text>
        <t>Founder time excluded (not a cash expense during the window).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" t="inlineStr">
        <is>
          <t>PraxisAI — Profit &amp; Loss Statement</t>
        </is>
      </c>
    </row>
    <row r="2">
      <c r="A2" s="2" t="inlineStr">
        <is>
          <t>Period: May 19 – August 17, 2026  (Build with Gemini XPRIZE 90-day hackathon window)</t>
        </is>
      </c>
    </row>
    <row r="3">
      <c r="A3" s="2" t="inlineStr">
        <is>
          <t>Basis: Cash accounting     Currency: USD</t>
        </is>
      </c>
    </row>
    <row r="4">
      <c r="A4" s="2" t="inlineStr">
        <is>
          <t>Corporate ID: N/A — not yet incorporated (sole founder, pre-incorporation)</t>
        </is>
      </c>
    </row>
    <row r="6">
      <c r="A6" s="3" t="inlineStr">
        <is>
          <t>REVENUE</t>
        </is>
      </c>
      <c r="B6" s="4" t="inlineStr">
        <is>
          <t>Amount</t>
        </is>
      </c>
    </row>
    <row r="7">
      <c r="A7" s="5" t="inlineStr">
        <is>
          <t>Third-party customer revenue (arms-length)</t>
        </is>
      </c>
      <c r="B7" s="6" t="n">
        <v>0</v>
      </c>
    </row>
    <row r="8">
      <c r="A8" s="7" t="inlineStr">
        <is>
          <t>Total Revenue</t>
        </is>
      </c>
      <c r="B8" s="8">
        <f>B7</f>
        <v/>
      </c>
    </row>
    <row r="10">
      <c r="A10" s="3" t="inlineStr">
        <is>
          <t>COST OF GOODS SOLD (COGS)</t>
        </is>
      </c>
      <c r="B10" s="9" t="n"/>
    </row>
    <row r="11">
      <c r="A11" s="5" t="inlineStr">
        <is>
          <t>Google Cloud (Cloud Run, Storage, KMS, Scheduler)</t>
        </is>
      </c>
      <c r="B11" s="6" t="n">
        <v>45</v>
      </c>
    </row>
    <row r="12">
      <c r="A12" s="5" t="inlineStr">
        <is>
          <t>Supabase (PostgreSQL, Auth, Storage)</t>
        </is>
      </c>
      <c r="B12" s="6" t="n">
        <v>0</v>
      </c>
    </row>
    <row r="13">
      <c r="A13" s="5" t="inlineStr">
        <is>
          <t>Gemini API usage</t>
        </is>
      </c>
      <c r="B13" s="6" t="n">
        <v>15</v>
      </c>
    </row>
    <row r="14">
      <c r="A14" s="5" t="inlineStr">
        <is>
          <t>ClamAV infrastructure</t>
        </is>
      </c>
      <c r="B14" s="6" t="n">
        <v>0</v>
      </c>
    </row>
    <row r="15">
      <c r="A15" s="5" t="inlineStr">
        <is>
          <t>Domain and DNS (pro-rated)</t>
        </is>
      </c>
      <c r="B15" s="6" t="n">
        <v>3</v>
      </c>
    </row>
    <row r="16">
      <c r="A16" s="7" t="inlineStr">
        <is>
          <t>Total COGS</t>
        </is>
      </c>
      <c r="B16" s="8">
        <f>SUM(B11:B15)</f>
        <v/>
      </c>
    </row>
    <row r="17">
      <c r="A17" s="10" t="inlineStr">
        <is>
          <t>Gross Profit</t>
        </is>
      </c>
      <c r="B17" s="11">
        <f>B8-B16</f>
        <v/>
      </c>
    </row>
    <row r="19">
      <c r="A19" s="3" t="inlineStr">
        <is>
          <t>OPERATING EXPENSES</t>
        </is>
      </c>
      <c r="B19" s="9" t="n"/>
    </row>
    <row r="20">
      <c r="A20" s="12" t="inlineStr">
        <is>
          <t>Sales &amp; Marketing</t>
        </is>
      </c>
    </row>
    <row r="21">
      <c r="A21" s="13" t="inlineStr">
        <is>
          <t>Marketing spend (advertising, content, events)</t>
        </is>
      </c>
      <c r="B21" s="6" t="n">
        <v>0</v>
      </c>
    </row>
    <row r="22">
      <c r="A22" s="13" t="inlineStr">
        <is>
          <t>Customer acquisition spend</t>
        </is>
      </c>
      <c r="B22" s="6" t="n">
        <v>0</v>
      </c>
    </row>
    <row r="23">
      <c r="A23" s="14" t="inlineStr">
        <is>
          <t>Subtotal — Sales &amp; Marketing</t>
        </is>
      </c>
      <c r="B23" s="8">
        <f>SUM(B21:B22)</f>
        <v/>
      </c>
    </row>
    <row r="24">
      <c r="A24" s="12" t="inlineStr">
        <is>
          <t>Research &amp; Development</t>
        </is>
      </c>
    </row>
    <row r="25">
      <c r="A25" s="13" t="inlineStr">
        <is>
          <t>AI tools &amp; development infrastructure</t>
        </is>
      </c>
      <c r="B25" s="6" t="n">
        <v>50</v>
      </c>
    </row>
    <row r="26">
      <c r="A26" s="14" t="inlineStr">
        <is>
          <t>Subtotal — R&amp;D</t>
        </is>
      </c>
      <c r="B26" s="8">
        <f>SUM(B25:B25)</f>
        <v/>
      </c>
    </row>
    <row r="27">
      <c r="A27" s="12" t="inlineStr">
        <is>
          <t>General &amp; Administrative</t>
        </is>
      </c>
    </row>
    <row r="28">
      <c r="A28" s="13" t="inlineStr">
        <is>
          <t>Business registration</t>
        </is>
      </c>
      <c r="B28" s="6" t="n">
        <v>0</v>
      </c>
    </row>
    <row r="29">
      <c r="A29" s="13" t="inlineStr">
        <is>
          <t>Legal / accounting</t>
        </is>
      </c>
      <c r="B29" s="6" t="n">
        <v>0</v>
      </c>
    </row>
    <row r="30">
      <c r="A30" s="14" t="inlineStr">
        <is>
          <t>Subtotal — G&amp;A</t>
        </is>
      </c>
      <c r="B30" s="8">
        <f>SUM(B28:B29)</f>
        <v/>
      </c>
    </row>
    <row r="31">
      <c r="A31" s="7" t="inlineStr">
        <is>
          <t>Total Operating Expenses</t>
        </is>
      </c>
      <c r="B31" s="8">
        <f>B23+B26+B30</f>
        <v/>
      </c>
    </row>
    <row r="33">
      <c r="A33" s="15" t="inlineStr">
        <is>
          <t>NET INCOME / (LOSS)</t>
        </is>
      </c>
      <c r="B33" s="16">
        <f>B17-B31</f>
        <v/>
      </c>
    </row>
    <row r="35">
      <c r="A35" s="17" t="inlineStr">
        <is>
          <t>REQUIRED DISCLOSURE — Marketing &amp; customer acquisition spend during hackathon period:</t>
        </is>
      </c>
      <c r="B35" s="18">
        <f>B21+B22</f>
        <v/>
      </c>
    </row>
    <row r="37">
      <c r="A37" s="12" t="inlineStr">
        <is>
          <t>Notes</t>
        </is>
      </c>
    </row>
    <row r="38">
      <c r="A38" s="19" t="inlineStr">
        <is>
          <t>1. PraxisAI is pre-revenue, pilot stage: no paying customers, no signed partners, not yet deployed.</t>
        </is>
      </c>
    </row>
    <row r="39">
      <c r="A39" s="19" t="inlineStr">
        <is>
          <t>2. Revenue evidence: $0. No payment processor is integrated (PAYMENT_PROVIDER=manual_external), so there is</t>
        </is>
      </c>
    </row>
    <row r="40">
      <c r="A40" s="19" t="inlineStr">
        <is>
          <t xml:space="preserve">   no Stripe dashboard or bank revenue to export. This statement is the revenue evidence for the window.</t>
        </is>
      </c>
    </row>
    <row r="41">
      <c r="A41" s="19" t="inlineStr">
        <is>
          <t>3. Marketing &amp; customer-acquisition spend during the hackathon period is $0 (disclosed as required, even at zero).</t>
        </is>
      </c>
    </row>
    <row r="42">
      <c r="A42" s="19" t="inlineStr">
        <is>
          <t>4. Students never pay to access preparation, matching, or credentials — access is free by design.</t>
        </is>
      </c>
    </row>
    <row r="43">
      <c r="A43" s="19" t="inlineStr">
        <is>
          <t>5. Infrastructure costs are good-faith estimates on staging-tier Google Cloud + Supabase free tier;</t>
        </is>
      </c>
    </row>
    <row r="44">
      <c r="A44" s="19" t="inlineStr">
        <is>
          <t xml:space="preserve">   zero production Gemini traffic has been served, so figures are not yet checked against a real invoice.</t>
        </is>
      </c>
    </row>
    <row r="45">
      <c r="A45" s="19" t="inlineStr">
        <is>
          <t>6. Founder compensation excluded — not a cash-basis expense during the competition window.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2026-08-17T12:58:42Z</dcterms:created>
  <dcterms:modified xmlns:dcterms="http://purl.org/dc/terms/" xmlns:xsi="http://www.w3.org/2001/XMLSchema-instance" xsi:type="dcterms:W3CDTF">2026-08-17T12:58:42Z</dcterms:modified>
</cp:coreProperties>
</file>